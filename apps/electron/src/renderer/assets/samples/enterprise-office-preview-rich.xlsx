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_Model" sheetId="2" state="visible" r:id="rId2"/>
    <sheet xmlns:r="http://schemas.openxmlformats.org/officeDocument/2006/relationships" name="Scenario_Analysi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Data_Quality" sheetId="5" state="visible" r:id="rId5"/>
  </sheets>
  <definedNames>
    <definedName name="_xlnm._FilterDatabase" localSheetId="1" hidden="1">'Monthly_Model'!$A$3:$N$29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[Red](&quot;$&quot;#,##0);&quot;-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666666"/>
      <sz val="10"/>
    </font>
    <font>
      <name val="Calibri"/>
      <b val="1"/>
      <color rgb="001F3864"/>
      <sz val="11"/>
    </font>
    <font>
      <name val="Calibri"/>
      <color rgb="001F1F1F"/>
      <sz val="10.5"/>
    </font>
    <font>
      <name val="Calibri"/>
      <color rgb="000563C1"/>
      <sz val="10.5"/>
      <u val="single"/>
    </font>
    <font>
      <name val="Calibri"/>
      <b val="1"/>
      <color rgb="00215732"/>
      <sz val="11"/>
    </font>
    <font>
      <name val="Calibri"/>
      <b val="1"/>
      <color rgb="001F3864"/>
      <sz val="1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DCE6F1"/>
      </patternFill>
    </fill>
    <fill>
      <patternFill patternType="solid">
        <fgColor rgb="00E2F0D9"/>
      </patternFill>
    </fill>
    <fill>
      <patternFill patternType="solid">
        <fgColor rgb="00F7FBF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7" fillId="6" borderId="1" applyAlignment="1" pivotButton="0" quotePrefix="0" xfId="0">
      <alignment horizontal="center" vertical="center"/>
    </xf>
    <xf numFmtId="10" fontId="7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ARR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'Dashboard'!$B$8:$M$8</f>
            </numRef>
          </cat>
          <val>
            <numRef>
              <f>'Dashboard'!$B$9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'Dashboard'!$B$8:$M$8</f>
            </numRef>
          </cat>
          <val>
            <numRef>
              <f>'Dashboard'!$C$9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'Dashboard'!$B$8:$M$8</f>
            </numRef>
          </cat>
          <val>
            <numRef>
              <f>'Dashboard'!$D$9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'Dashboard'!$B$8:$M$8</f>
            </numRef>
          </cat>
          <val>
            <numRef>
              <f>'Dashboard'!$E$9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'Dashboard'!$B$8:$M$8</f>
            </numRef>
          </cat>
          <val>
            <numRef>
              <f>'Dashboard'!$F$9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'Dashboard'!$B$8:$M$8</f>
            </numRef>
          </cat>
          <val>
            <numRef>
              <f>'Dashboard'!$G$9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'Dashboard'!$B$8:$M$8</f>
            </numRef>
          </cat>
          <val>
            <numRef>
              <f>'Dashboard'!$H$9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'Dashboard'!$B$8:$M$8</f>
            </numRef>
          </cat>
          <val>
            <numRef>
              <f>'Dashboard'!$I$9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'Dashboard'!$B$8:$M$8</f>
            </numRef>
          </cat>
          <val>
            <numRef>
              <f>'Dashboard'!$J$9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'Dashboard'!$B$8:$M$8</f>
            </numRef>
          </cat>
          <val>
            <numRef>
              <f>'Dashboard'!$K$9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'Dashboard'!$B$8:$M$8</f>
            </numRef>
          </cat>
          <val>
            <numRef>
              <f>'Dashboard'!$L$9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'Dashboard'!$B$8:$M$8</f>
            </numRef>
          </cat>
          <val>
            <numRef>
              <f>'Dashboard'!$M$9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ARR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Dec ARR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ARR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F5" authorId="0" shapeId="0">
      <text>
        <t>External benchmark source for this segment.</t>
      </text>
    </comment>
    <comment ref="F6" authorId="0" shapeId="0">
      <text>
        <t>External benchmark source for this segment.</t>
      </text>
    </comment>
    <comment ref="F7" authorId="0" shapeId="0">
      <text>
        <t>External benchmark source for this segment.</t>
      </text>
    </comment>
    <comment ref="F8" authorId="0" shapeId="0">
      <text>
        <t>External benchmark source for this segment.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2520000" cy="151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7</row>
      <rowOff>0</rowOff>
    </from>
    <ext cx="2015999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revenue-benchmark" TargetMode="External" Id="rId1"/><Relationship Type="http://schemas.openxmlformats.org/officeDocument/2006/relationships/hyperlink" Target="https://example.com/midmarket-report" TargetMode="External" Id="rId2"/><Relationship Type="http://schemas.openxmlformats.org/officeDocument/2006/relationships/hyperlink" Target="https://example.com/smb-observatory" TargetMode="External" Id="rId3"/><Relationship Type="http://schemas.openxmlformats.org/officeDocument/2006/relationships/hyperlink" Target="https://example.com/public-sector-data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1" customWidth="1" min="4" max="4"/>
    <col width="16" customWidth="1" min="5" max="5"/>
    <col width="40" customWidth="1" min="6" max="6"/>
  </cols>
  <sheetData>
    <row r="1">
      <c r="A1" s="1" t="inlineStr">
        <is>
          <t>Enterprise Preview Model - Core Assumptions</t>
        </is>
      </c>
    </row>
    <row r="2">
      <c r="A2" s="2" t="inlineStr">
        <is>
          <t>Generated: 2026-03-02</t>
        </is>
      </c>
    </row>
    <row r="4">
      <c r="A4" s="3" t="inlineStr">
        <is>
          <t>Segment</t>
        </is>
      </c>
      <c r="B4" s="3" t="inlineStr">
        <is>
          <t>Starting ARR ($)</t>
        </is>
      </c>
      <c r="C4" s="3" t="inlineStr">
        <is>
          <t>New ARR Growth / Month</t>
        </is>
      </c>
      <c r="D4" s="3" t="inlineStr">
        <is>
          <t>Churn Rate / Month</t>
        </is>
      </c>
      <c r="E4" s="3" t="inlineStr">
        <is>
          <t>Gross Margin</t>
        </is>
      </c>
      <c r="F4" s="3" t="inlineStr">
        <is>
          <t>Source URL</t>
        </is>
      </c>
    </row>
    <row r="5">
      <c r="A5" s="4" t="inlineStr">
        <is>
          <t>Enterprise</t>
        </is>
      </c>
      <c r="B5" s="5" t="n">
        <v>7200000</v>
      </c>
      <c r="C5" s="6" t="n">
        <v>0.028</v>
      </c>
      <c r="D5" s="6" t="n">
        <v>0.008999999999999999</v>
      </c>
      <c r="E5" s="6" t="n">
        <v>0.8100000000000001</v>
      </c>
      <c r="F5" s="7" t="inlineStr">
        <is>
          <t>https://example.com/revenue-benchmark</t>
        </is>
      </c>
    </row>
    <row r="6">
      <c r="A6" s="4" t="inlineStr">
        <is>
          <t>Mid-Market</t>
        </is>
      </c>
      <c r="B6" s="5" t="n">
        <v>4300000</v>
      </c>
      <c r="C6" s="6" t="n">
        <v>0.022</v>
      </c>
      <c r="D6" s="6" t="n">
        <v>0.011</v>
      </c>
      <c r="E6" s="6" t="n">
        <v>0.77</v>
      </c>
      <c r="F6" s="7" t="inlineStr">
        <is>
          <t>https://example.com/midmarket-report</t>
        </is>
      </c>
    </row>
    <row r="7">
      <c r="A7" s="4" t="inlineStr">
        <is>
          <t>SMB</t>
        </is>
      </c>
      <c r="B7" s="5" t="n">
        <v>2400000</v>
      </c>
      <c r="C7" s="6" t="n">
        <v>0.018</v>
      </c>
      <c r="D7" s="6" t="n">
        <v>0.013</v>
      </c>
      <c r="E7" s="6" t="n">
        <v>0.71</v>
      </c>
      <c r="F7" s="7" t="inlineStr">
        <is>
          <t>https://example.com/smb-observatory</t>
        </is>
      </c>
    </row>
    <row r="8">
      <c r="A8" s="4" t="inlineStr">
        <is>
          <t>Public Sector</t>
        </is>
      </c>
      <c r="B8" s="5" t="n">
        <v>1600000</v>
      </c>
      <c r="C8" s="6" t="n">
        <v>0.031</v>
      </c>
      <c r="D8" s="6" t="n">
        <v>0.008</v>
      </c>
      <c r="E8" s="6" t="n">
        <v>0.74</v>
      </c>
      <c r="F8" s="7" t="inlineStr">
        <is>
          <t>https://example.com/public-sector-data</t>
        </is>
      </c>
    </row>
    <row r="11">
      <c r="A11" s="3" t="inlineStr">
        <is>
          <t>Global Controls</t>
        </is>
      </c>
    </row>
    <row r="12">
      <c r="A12" s="4" t="inlineStr">
        <is>
          <t>Price uplift factor</t>
        </is>
      </c>
      <c r="B12" s="6" t="n">
        <v>0.04</v>
      </c>
    </row>
    <row r="13">
      <c r="A13" s="4" t="inlineStr">
        <is>
          <t>Efficiency gain factor</t>
        </is>
      </c>
      <c r="B13" s="6" t="n">
        <v>0.03</v>
      </c>
    </row>
    <row r="14">
      <c r="A14" s="4" t="inlineStr">
        <is>
          <t>Scenario selector</t>
        </is>
      </c>
      <c r="B14" s="8" t="inlineStr">
        <is>
          <t>Base</t>
        </is>
      </c>
    </row>
  </sheetData>
  <mergeCells count="1">
    <mergeCell ref="A1:F1"/>
  </mergeCells>
  <dataValidations count="1">
    <dataValidation sqref="B14" showDropDown="0" showInputMessage="0" showErrorMessage="0" allowBlank="0" type="list">
      <formula1>"Base,Upside,Downside"</formula1>
    </dataValidation>
  </dataValidation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Monthly ARR Waterfall (Formulas Preserved)</t>
        </is>
      </c>
    </row>
    <row r="3">
      <c r="A3" s="3" t="inlineStr">
        <is>
          <t>Metric</t>
        </is>
      </c>
      <c r="B3" s="3" t="inlineStr">
        <is>
          <t>Jan-26</t>
        </is>
      </c>
      <c r="C3" s="3" t="inlineStr">
        <is>
          <t>Feb-26</t>
        </is>
      </c>
      <c r="D3" s="3" t="inlineStr">
        <is>
          <t>Mar-26</t>
        </is>
      </c>
      <c r="E3" s="3" t="inlineStr">
        <is>
          <t>Apr-26</t>
        </is>
      </c>
      <c r="F3" s="3" t="inlineStr">
        <is>
          <t>May-26</t>
        </is>
      </c>
      <c r="G3" s="3" t="inlineStr">
        <is>
          <t>Jun-26</t>
        </is>
      </c>
      <c r="H3" s="3" t="inlineStr">
        <is>
          <t>Jul-26</t>
        </is>
      </c>
      <c r="I3" s="3" t="inlineStr">
        <is>
          <t>Aug-26</t>
        </is>
      </c>
      <c r="J3" s="3" t="inlineStr">
        <is>
          <t>Sep-26</t>
        </is>
      </c>
      <c r="K3" s="3" t="inlineStr">
        <is>
          <t>Oct-26</t>
        </is>
      </c>
      <c r="L3" s="3" t="inlineStr">
        <is>
          <t>Nov-26</t>
        </is>
      </c>
      <c r="M3" s="3" t="inlineStr">
        <is>
          <t>Dec-26</t>
        </is>
      </c>
    </row>
    <row r="5">
      <c r="A5" s="4" t="inlineStr">
        <is>
          <t>Enterprise - Starting ARR</t>
        </is>
      </c>
      <c r="B5" s="9">
        <f>Assumptions!$B$5</f>
        <v/>
      </c>
      <c r="C5" s="9">
        <f>B8</f>
        <v/>
      </c>
      <c r="D5" s="9">
        <f>C8</f>
        <v/>
      </c>
      <c r="E5" s="9">
        <f>D8</f>
        <v/>
      </c>
      <c r="F5" s="9">
        <f>E8</f>
        <v/>
      </c>
      <c r="G5" s="9">
        <f>F8</f>
        <v/>
      </c>
      <c r="H5" s="9">
        <f>G8</f>
        <v/>
      </c>
      <c r="I5" s="9">
        <f>H8</f>
        <v/>
      </c>
      <c r="J5" s="9">
        <f>I8</f>
        <v/>
      </c>
      <c r="K5" s="9">
        <f>J8</f>
        <v/>
      </c>
      <c r="L5" s="9">
        <f>K8</f>
        <v/>
      </c>
      <c r="M5" s="9">
        <f>L8</f>
        <v/>
      </c>
    </row>
    <row r="6">
      <c r="A6" s="4" t="inlineStr">
        <is>
          <t>Enterprise - New ARR</t>
        </is>
      </c>
      <c r="B6" s="9">
        <f>B5*Assumptions!$C$5*(1+Assumptions!$B$12)</f>
        <v/>
      </c>
      <c r="C6" s="9">
        <f>C5*Assumptions!$C$5*(1+Assumptions!$B$12)</f>
        <v/>
      </c>
      <c r="D6" s="9">
        <f>D5*Assumptions!$C$5*(1+Assumptions!$B$12)</f>
        <v/>
      </c>
      <c r="E6" s="9">
        <f>E5*Assumptions!$C$5*(1+Assumptions!$B$12)</f>
        <v/>
      </c>
      <c r="F6" s="9">
        <f>F5*Assumptions!$C$5*(1+Assumptions!$B$12)</f>
        <v/>
      </c>
      <c r="G6" s="9">
        <f>G5*Assumptions!$C$5*(1+Assumptions!$B$12)</f>
        <v/>
      </c>
      <c r="H6" s="9">
        <f>H5*Assumptions!$C$5*(1+Assumptions!$B$12)</f>
        <v/>
      </c>
      <c r="I6" s="9">
        <f>I5*Assumptions!$C$5*(1+Assumptions!$B$12)</f>
        <v/>
      </c>
      <c r="J6" s="9">
        <f>J5*Assumptions!$C$5*(1+Assumptions!$B$12)</f>
        <v/>
      </c>
      <c r="K6" s="9">
        <f>K5*Assumptions!$C$5*(1+Assumptions!$B$12)</f>
        <v/>
      </c>
      <c r="L6" s="9">
        <f>L5*Assumptions!$C$5*(1+Assumptions!$B$12)</f>
        <v/>
      </c>
      <c r="M6" s="9">
        <f>M5*Assumptions!$C$5*(1+Assumptions!$B$12)</f>
        <v/>
      </c>
    </row>
    <row r="7">
      <c r="A7" s="4" t="inlineStr">
        <is>
          <t>Enterprise - Churn ARR</t>
        </is>
      </c>
      <c r="B7" s="9">
        <f>-B5*Assumptions!$D$5</f>
        <v/>
      </c>
      <c r="C7" s="9">
        <f>-C5*Assumptions!$D$5</f>
        <v/>
      </c>
      <c r="D7" s="9">
        <f>-D5*Assumptions!$D$5</f>
        <v/>
      </c>
      <c r="E7" s="9">
        <f>-E5*Assumptions!$D$5</f>
        <v/>
      </c>
      <c r="F7" s="9">
        <f>-F5*Assumptions!$D$5</f>
        <v/>
      </c>
      <c r="G7" s="9">
        <f>-G5*Assumptions!$D$5</f>
        <v/>
      </c>
      <c r="H7" s="9">
        <f>-H5*Assumptions!$D$5</f>
        <v/>
      </c>
      <c r="I7" s="9">
        <f>-I5*Assumptions!$D$5</f>
        <v/>
      </c>
      <c r="J7" s="9">
        <f>-J5*Assumptions!$D$5</f>
        <v/>
      </c>
      <c r="K7" s="9">
        <f>-K5*Assumptions!$D$5</f>
        <v/>
      </c>
      <c r="L7" s="9">
        <f>-L5*Assumptions!$D$5</f>
        <v/>
      </c>
      <c r="M7" s="9">
        <f>-M5*Assumptions!$D$5</f>
        <v/>
      </c>
    </row>
    <row r="8">
      <c r="A8" s="4" t="inlineStr">
        <is>
          <t>Enterprise - Ending ARR</t>
        </is>
      </c>
      <c r="B8" s="9">
        <f>B5+B6+B7</f>
        <v/>
      </c>
      <c r="C8" s="9">
        <f>C5+C6+C7</f>
        <v/>
      </c>
      <c r="D8" s="9">
        <f>D5+D6+D7</f>
        <v/>
      </c>
      <c r="E8" s="9">
        <f>E5+E6+E7</f>
        <v/>
      </c>
      <c r="F8" s="9">
        <f>F5+F6+F7</f>
        <v/>
      </c>
      <c r="G8" s="9">
        <f>G5+G6+G7</f>
        <v/>
      </c>
      <c r="H8" s="9">
        <f>H5+H6+H7</f>
        <v/>
      </c>
      <c r="I8" s="9">
        <f>I5+I6+I7</f>
        <v/>
      </c>
      <c r="J8" s="9">
        <f>J5+J6+J7</f>
        <v/>
      </c>
      <c r="K8" s="9">
        <f>K5+K6+K7</f>
        <v/>
      </c>
      <c r="L8" s="9">
        <f>L5+L6+L7</f>
        <v/>
      </c>
      <c r="M8" s="9">
        <f>M5+M6+M7</f>
        <v/>
      </c>
    </row>
    <row r="9" ht="8" customHeight="1"/>
    <row r="10">
      <c r="A10" s="4" t="inlineStr">
        <is>
          <t>Mid-Market - Starting ARR</t>
        </is>
      </c>
      <c r="B10" s="9">
        <f>Assumptions!$B$6</f>
        <v/>
      </c>
      <c r="C10" s="9">
        <f>B13</f>
        <v/>
      </c>
      <c r="D10" s="9">
        <f>C13</f>
        <v/>
      </c>
      <c r="E10" s="9">
        <f>D13</f>
        <v/>
      </c>
      <c r="F10" s="9">
        <f>E13</f>
        <v/>
      </c>
      <c r="G10" s="9">
        <f>F13</f>
        <v/>
      </c>
      <c r="H10" s="9">
        <f>G13</f>
        <v/>
      </c>
      <c r="I10" s="9">
        <f>H13</f>
        <v/>
      </c>
      <c r="J10" s="9">
        <f>I13</f>
        <v/>
      </c>
      <c r="K10" s="9">
        <f>J13</f>
        <v/>
      </c>
      <c r="L10" s="9">
        <f>K13</f>
        <v/>
      </c>
      <c r="M10" s="9">
        <f>L13</f>
        <v/>
      </c>
    </row>
    <row r="11">
      <c r="A11" s="4" t="inlineStr">
        <is>
          <t>Mid-Market - New ARR</t>
        </is>
      </c>
      <c r="B11" s="9">
        <f>B10*Assumptions!$C$6*(1+Assumptions!$B$12)</f>
        <v/>
      </c>
      <c r="C11" s="9">
        <f>C10*Assumptions!$C$6*(1+Assumptions!$B$12)</f>
        <v/>
      </c>
      <c r="D11" s="9">
        <f>D10*Assumptions!$C$6*(1+Assumptions!$B$12)</f>
        <v/>
      </c>
      <c r="E11" s="9">
        <f>E10*Assumptions!$C$6*(1+Assumptions!$B$12)</f>
        <v/>
      </c>
      <c r="F11" s="9">
        <f>F10*Assumptions!$C$6*(1+Assumptions!$B$12)</f>
        <v/>
      </c>
      <c r="G11" s="9">
        <f>G10*Assumptions!$C$6*(1+Assumptions!$B$12)</f>
        <v/>
      </c>
      <c r="H11" s="9">
        <f>H10*Assumptions!$C$6*(1+Assumptions!$B$12)</f>
        <v/>
      </c>
      <c r="I11" s="9">
        <f>I10*Assumptions!$C$6*(1+Assumptions!$B$12)</f>
        <v/>
      </c>
      <c r="J11" s="9">
        <f>J10*Assumptions!$C$6*(1+Assumptions!$B$12)</f>
        <v/>
      </c>
      <c r="K11" s="9">
        <f>K10*Assumptions!$C$6*(1+Assumptions!$B$12)</f>
        <v/>
      </c>
      <c r="L11" s="9">
        <f>L10*Assumptions!$C$6*(1+Assumptions!$B$12)</f>
        <v/>
      </c>
      <c r="M11" s="9">
        <f>M10*Assumptions!$C$6*(1+Assumptions!$B$12)</f>
        <v/>
      </c>
    </row>
    <row r="12">
      <c r="A12" s="4" t="inlineStr">
        <is>
          <t>Mid-Market - Churn ARR</t>
        </is>
      </c>
      <c r="B12" s="9">
        <f>-B10*Assumptions!$D$6</f>
        <v/>
      </c>
      <c r="C12" s="9">
        <f>-C10*Assumptions!$D$6</f>
        <v/>
      </c>
      <c r="D12" s="9">
        <f>-D10*Assumptions!$D$6</f>
        <v/>
      </c>
      <c r="E12" s="9">
        <f>-E10*Assumptions!$D$6</f>
        <v/>
      </c>
      <c r="F12" s="9">
        <f>-F10*Assumptions!$D$6</f>
        <v/>
      </c>
      <c r="G12" s="9">
        <f>-G10*Assumptions!$D$6</f>
        <v/>
      </c>
      <c r="H12" s="9">
        <f>-H10*Assumptions!$D$6</f>
        <v/>
      </c>
      <c r="I12" s="9">
        <f>-I10*Assumptions!$D$6</f>
        <v/>
      </c>
      <c r="J12" s="9">
        <f>-J10*Assumptions!$D$6</f>
        <v/>
      </c>
      <c r="K12" s="9">
        <f>-K10*Assumptions!$D$6</f>
        <v/>
      </c>
      <c r="L12" s="9">
        <f>-L10*Assumptions!$D$6</f>
        <v/>
      </c>
      <c r="M12" s="9">
        <f>-M10*Assumptions!$D$6</f>
        <v/>
      </c>
    </row>
    <row r="13">
      <c r="A13" s="4" t="inlineStr">
        <is>
          <t>Mid-Market - Ending ARR</t>
        </is>
      </c>
      <c r="B13" s="9">
        <f>B10+B11+B12</f>
        <v/>
      </c>
      <c r="C13" s="9">
        <f>C10+C11+C12</f>
        <v/>
      </c>
      <c r="D13" s="9">
        <f>D10+D11+D12</f>
        <v/>
      </c>
      <c r="E13" s="9">
        <f>E10+E11+E12</f>
        <v/>
      </c>
      <c r="F13" s="9">
        <f>F10+F11+F12</f>
        <v/>
      </c>
      <c r="G13" s="9">
        <f>G10+G11+G12</f>
        <v/>
      </c>
      <c r="H13" s="9">
        <f>H10+H11+H12</f>
        <v/>
      </c>
      <c r="I13" s="9">
        <f>I10+I11+I12</f>
        <v/>
      </c>
      <c r="J13" s="9">
        <f>J10+J11+J12</f>
        <v/>
      </c>
      <c r="K13" s="9">
        <f>K10+K11+K12</f>
        <v/>
      </c>
      <c r="L13" s="9">
        <f>L10+L11+L12</f>
        <v/>
      </c>
      <c r="M13" s="9">
        <f>M10+M11+M12</f>
        <v/>
      </c>
    </row>
    <row r="14" ht="8" customHeight="1"/>
    <row r="15">
      <c r="A15" s="4" t="inlineStr">
        <is>
          <t>SMB - Starting ARR</t>
        </is>
      </c>
      <c r="B15" s="9">
        <f>Assumptions!$B$7</f>
        <v/>
      </c>
      <c r="C15" s="9">
        <f>B18</f>
        <v/>
      </c>
      <c r="D15" s="9">
        <f>C18</f>
        <v/>
      </c>
      <c r="E15" s="9">
        <f>D18</f>
        <v/>
      </c>
      <c r="F15" s="9">
        <f>E18</f>
        <v/>
      </c>
      <c r="G15" s="9">
        <f>F18</f>
        <v/>
      </c>
      <c r="H15" s="9">
        <f>G18</f>
        <v/>
      </c>
      <c r="I15" s="9">
        <f>H18</f>
        <v/>
      </c>
      <c r="J15" s="9">
        <f>I18</f>
        <v/>
      </c>
      <c r="K15" s="9">
        <f>J18</f>
        <v/>
      </c>
      <c r="L15" s="9">
        <f>K18</f>
        <v/>
      </c>
      <c r="M15" s="9">
        <f>L18</f>
        <v/>
      </c>
    </row>
    <row r="16">
      <c r="A16" s="4" t="inlineStr">
        <is>
          <t>SMB - New ARR</t>
        </is>
      </c>
      <c r="B16" s="9">
        <f>B15*Assumptions!$C$7*(1+Assumptions!$B$12)</f>
        <v/>
      </c>
      <c r="C16" s="9">
        <f>C15*Assumptions!$C$7*(1+Assumptions!$B$12)</f>
        <v/>
      </c>
      <c r="D16" s="9">
        <f>D15*Assumptions!$C$7*(1+Assumptions!$B$12)</f>
        <v/>
      </c>
      <c r="E16" s="9">
        <f>E15*Assumptions!$C$7*(1+Assumptions!$B$12)</f>
        <v/>
      </c>
      <c r="F16" s="9">
        <f>F15*Assumptions!$C$7*(1+Assumptions!$B$12)</f>
        <v/>
      </c>
      <c r="G16" s="9">
        <f>G15*Assumptions!$C$7*(1+Assumptions!$B$12)</f>
        <v/>
      </c>
      <c r="H16" s="9">
        <f>H15*Assumptions!$C$7*(1+Assumptions!$B$12)</f>
        <v/>
      </c>
      <c r="I16" s="9">
        <f>I15*Assumptions!$C$7*(1+Assumptions!$B$12)</f>
        <v/>
      </c>
      <c r="J16" s="9">
        <f>J15*Assumptions!$C$7*(1+Assumptions!$B$12)</f>
        <v/>
      </c>
      <c r="K16" s="9">
        <f>K15*Assumptions!$C$7*(1+Assumptions!$B$12)</f>
        <v/>
      </c>
      <c r="L16" s="9">
        <f>L15*Assumptions!$C$7*(1+Assumptions!$B$12)</f>
        <v/>
      </c>
      <c r="M16" s="9">
        <f>M15*Assumptions!$C$7*(1+Assumptions!$B$12)</f>
        <v/>
      </c>
    </row>
    <row r="17">
      <c r="A17" s="4" t="inlineStr">
        <is>
          <t>SMB - Churn ARR</t>
        </is>
      </c>
      <c r="B17" s="9">
        <f>-B15*Assumptions!$D$7</f>
        <v/>
      </c>
      <c r="C17" s="9">
        <f>-C15*Assumptions!$D$7</f>
        <v/>
      </c>
      <c r="D17" s="9">
        <f>-D15*Assumptions!$D$7</f>
        <v/>
      </c>
      <c r="E17" s="9">
        <f>-E15*Assumptions!$D$7</f>
        <v/>
      </c>
      <c r="F17" s="9">
        <f>-F15*Assumptions!$D$7</f>
        <v/>
      </c>
      <c r="G17" s="9">
        <f>-G15*Assumptions!$D$7</f>
        <v/>
      </c>
      <c r="H17" s="9">
        <f>-H15*Assumptions!$D$7</f>
        <v/>
      </c>
      <c r="I17" s="9">
        <f>-I15*Assumptions!$D$7</f>
        <v/>
      </c>
      <c r="J17" s="9">
        <f>-J15*Assumptions!$D$7</f>
        <v/>
      </c>
      <c r="K17" s="9">
        <f>-K15*Assumptions!$D$7</f>
        <v/>
      </c>
      <c r="L17" s="9">
        <f>-L15*Assumptions!$D$7</f>
        <v/>
      </c>
      <c r="M17" s="9">
        <f>-M15*Assumptions!$D$7</f>
        <v/>
      </c>
    </row>
    <row r="18">
      <c r="A18" s="4" t="inlineStr">
        <is>
          <t>SMB - Ending ARR</t>
        </is>
      </c>
      <c r="B18" s="9">
        <f>B15+B16+B17</f>
        <v/>
      </c>
      <c r="C18" s="9">
        <f>C15+C16+C17</f>
        <v/>
      </c>
      <c r="D18" s="9">
        <f>D15+D16+D17</f>
        <v/>
      </c>
      <c r="E18" s="9">
        <f>E15+E16+E17</f>
        <v/>
      </c>
      <c r="F18" s="9">
        <f>F15+F16+F17</f>
        <v/>
      </c>
      <c r="G18" s="9">
        <f>G15+G16+G17</f>
        <v/>
      </c>
      <c r="H18" s="9">
        <f>H15+H16+H17</f>
        <v/>
      </c>
      <c r="I18" s="9">
        <f>I15+I16+I17</f>
        <v/>
      </c>
      <c r="J18" s="9">
        <f>J15+J16+J17</f>
        <v/>
      </c>
      <c r="K18" s="9">
        <f>K15+K16+K17</f>
        <v/>
      </c>
      <c r="L18" s="9">
        <f>L15+L16+L17</f>
        <v/>
      </c>
      <c r="M18" s="9">
        <f>M15+M16+M17</f>
        <v/>
      </c>
    </row>
    <row r="19" ht="8" customHeight="1"/>
    <row r="20">
      <c r="A20" s="4" t="inlineStr">
        <is>
          <t>Public Sector - Starting ARR</t>
        </is>
      </c>
      <c r="B20" s="9">
        <f>Assumptions!$B$8</f>
        <v/>
      </c>
      <c r="C20" s="9">
        <f>B23</f>
        <v/>
      </c>
      <c r="D20" s="9">
        <f>C23</f>
        <v/>
      </c>
      <c r="E20" s="9">
        <f>D23</f>
        <v/>
      </c>
      <c r="F20" s="9">
        <f>E23</f>
        <v/>
      </c>
      <c r="G20" s="9">
        <f>F23</f>
        <v/>
      </c>
      <c r="H20" s="9">
        <f>G23</f>
        <v/>
      </c>
      <c r="I20" s="9">
        <f>H23</f>
        <v/>
      </c>
      <c r="J20" s="9">
        <f>I23</f>
        <v/>
      </c>
      <c r="K20" s="9">
        <f>J23</f>
        <v/>
      </c>
      <c r="L20" s="9">
        <f>K23</f>
        <v/>
      </c>
      <c r="M20" s="9">
        <f>L23</f>
        <v/>
      </c>
    </row>
    <row r="21">
      <c r="A21" s="4" t="inlineStr">
        <is>
          <t>Public Sector - New ARR</t>
        </is>
      </c>
      <c r="B21" s="9">
        <f>B20*Assumptions!$C$8*(1+Assumptions!$B$12)</f>
        <v/>
      </c>
      <c r="C21" s="9">
        <f>C20*Assumptions!$C$8*(1+Assumptions!$B$12)</f>
        <v/>
      </c>
      <c r="D21" s="9">
        <f>D20*Assumptions!$C$8*(1+Assumptions!$B$12)</f>
        <v/>
      </c>
      <c r="E21" s="9">
        <f>E20*Assumptions!$C$8*(1+Assumptions!$B$12)</f>
        <v/>
      </c>
      <c r="F21" s="9">
        <f>F20*Assumptions!$C$8*(1+Assumptions!$B$12)</f>
        <v/>
      </c>
      <c r="G21" s="9">
        <f>G20*Assumptions!$C$8*(1+Assumptions!$B$12)</f>
        <v/>
      </c>
      <c r="H21" s="9">
        <f>H20*Assumptions!$C$8*(1+Assumptions!$B$12)</f>
        <v/>
      </c>
      <c r="I21" s="9">
        <f>I20*Assumptions!$C$8*(1+Assumptions!$B$12)</f>
        <v/>
      </c>
      <c r="J21" s="9">
        <f>J20*Assumptions!$C$8*(1+Assumptions!$B$12)</f>
        <v/>
      </c>
      <c r="K21" s="9">
        <f>K20*Assumptions!$C$8*(1+Assumptions!$B$12)</f>
        <v/>
      </c>
      <c r="L21" s="9">
        <f>L20*Assumptions!$C$8*(1+Assumptions!$B$12)</f>
        <v/>
      </c>
      <c r="M21" s="9">
        <f>M20*Assumptions!$C$8*(1+Assumptions!$B$12)</f>
        <v/>
      </c>
    </row>
    <row r="22">
      <c r="A22" s="4" t="inlineStr">
        <is>
          <t>Public Sector - Churn ARR</t>
        </is>
      </c>
      <c r="B22" s="9">
        <f>-B20*Assumptions!$D$8</f>
        <v/>
      </c>
      <c r="C22" s="9">
        <f>-C20*Assumptions!$D$8</f>
        <v/>
      </c>
      <c r="D22" s="9">
        <f>-D20*Assumptions!$D$8</f>
        <v/>
      </c>
      <c r="E22" s="9">
        <f>-E20*Assumptions!$D$8</f>
        <v/>
      </c>
      <c r="F22" s="9">
        <f>-F20*Assumptions!$D$8</f>
        <v/>
      </c>
      <c r="G22" s="9">
        <f>-G20*Assumptions!$D$8</f>
        <v/>
      </c>
      <c r="H22" s="9">
        <f>-H20*Assumptions!$D$8</f>
        <v/>
      </c>
      <c r="I22" s="9">
        <f>-I20*Assumptions!$D$8</f>
        <v/>
      </c>
      <c r="J22" s="9">
        <f>-J20*Assumptions!$D$8</f>
        <v/>
      </c>
      <c r="K22" s="9">
        <f>-K20*Assumptions!$D$8</f>
        <v/>
      </c>
      <c r="L22" s="9">
        <f>-L20*Assumptions!$D$8</f>
        <v/>
      </c>
      <c r="M22" s="9">
        <f>-M20*Assumptions!$D$8</f>
        <v/>
      </c>
    </row>
    <row r="23">
      <c r="A23" s="4" t="inlineStr">
        <is>
          <t>Public Sector - Ending ARR</t>
        </is>
      </c>
      <c r="B23" s="9">
        <f>B20+B21+B22</f>
        <v/>
      </c>
      <c r="C23" s="9">
        <f>C20+C21+C22</f>
        <v/>
      </c>
      <c r="D23" s="9">
        <f>D20+D21+D22</f>
        <v/>
      </c>
      <c r="E23" s="9">
        <f>E20+E21+E22</f>
        <v/>
      </c>
      <c r="F23" s="9">
        <f>F20+F21+F22</f>
        <v/>
      </c>
      <c r="G23" s="9">
        <f>G20+G21+G22</f>
        <v/>
      </c>
      <c r="H23" s="9">
        <f>H20+H21+H22</f>
        <v/>
      </c>
      <c r="I23" s="9">
        <f>I20+I21+I22</f>
        <v/>
      </c>
      <c r="J23" s="9">
        <f>J20+J21+J22</f>
        <v/>
      </c>
      <c r="K23" s="9">
        <f>K20+K21+K22</f>
        <v/>
      </c>
      <c r="L23" s="9">
        <f>L20+L21+L22</f>
        <v/>
      </c>
      <c r="M23" s="9">
        <f>M20+M21+M22</f>
        <v/>
      </c>
    </row>
    <row r="24" ht="8" customHeight="1"/>
    <row r="26">
      <c r="A26" s="3" t="inlineStr">
        <is>
          <t>Total Ending ARR</t>
        </is>
      </c>
      <c r="B26" s="10">
        <f>B8+B13+B18+B23</f>
        <v/>
      </c>
      <c r="C26" s="10">
        <f>C8+C13+C18+C23</f>
        <v/>
      </c>
      <c r="D26" s="10">
        <f>D8+D13+D18+D23</f>
        <v/>
      </c>
      <c r="E26" s="10">
        <f>E8+E13+E18+E23</f>
        <v/>
      </c>
      <c r="F26" s="10">
        <f>F8+F13+F18+F23</f>
        <v/>
      </c>
      <c r="G26" s="10">
        <f>G8+G13+G18+G23</f>
        <v/>
      </c>
      <c r="H26" s="10">
        <f>H8+H13+H18+H23</f>
        <v/>
      </c>
      <c r="I26" s="10">
        <f>I8+I13+I18+I23</f>
        <v/>
      </c>
      <c r="J26" s="10">
        <f>J8+J13+J18+J23</f>
        <v/>
      </c>
      <c r="K26" s="10">
        <f>K8+K13+K18+K23</f>
        <v/>
      </c>
      <c r="L26" s="10">
        <f>L8+L13+L18+L23</f>
        <v/>
      </c>
      <c r="M26" s="10">
        <f>M8+M13+M18+M23</f>
        <v/>
      </c>
    </row>
    <row r="27">
      <c r="A27" s="3" t="inlineStr">
        <is>
          <t>Weighted Gross Margin</t>
        </is>
      </c>
      <c r="B27" s="11">
        <f>(B8*Assumptions!$E$5+B13*Assumptions!$E$6+B18*Assumptions!$E$7+B23*Assumptions!$E$8)/B26</f>
        <v/>
      </c>
      <c r="C27" s="11">
        <f>(C8*Assumptions!$E$5+C13*Assumptions!$E$6+C18*Assumptions!$E$7+C23*Assumptions!$E$8)/C26</f>
        <v/>
      </c>
      <c r="D27" s="11">
        <f>(D8*Assumptions!$E$5+D13*Assumptions!$E$6+D18*Assumptions!$E$7+D23*Assumptions!$E$8)/D26</f>
        <v/>
      </c>
      <c r="E27" s="11">
        <f>(E8*Assumptions!$E$5+E13*Assumptions!$E$6+E18*Assumptions!$E$7+E23*Assumptions!$E$8)/E26</f>
        <v/>
      </c>
      <c r="F27" s="11">
        <f>(F8*Assumptions!$E$5+F13*Assumptions!$E$6+F18*Assumptions!$E$7+F23*Assumptions!$E$8)/F26</f>
        <v/>
      </c>
      <c r="G27" s="11">
        <f>(G8*Assumptions!$E$5+G13*Assumptions!$E$6+G18*Assumptions!$E$7+G23*Assumptions!$E$8)/G26</f>
        <v/>
      </c>
      <c r="H27" s="11">
        <f>(H8*Assumptions!$E$5+H13*Assumptions!$E$6+H18*Assumptions!$E$7+H23*Assumptions!$E$8)/H26</f>
        <v/>
      </c>
      <c r="I27" s="11">
        <f>(I8*Assumptions!$E$5+I13*Assumptions!$E$6+I18*Assumptions!$E$7+I23*Assumptions!$E$8)/I26</f>
        <v/>
      </c>
      <c r="J27" s="11">
        <f>(J8*Assumptions!$E$5+J13*Assumptions!$E$6+J18*Assumptions!$E$7+J23*Assumptions!$E$8)/J26</f>
        <v/>
      </c>
      <c r="K27" s="11">
        <f>(K8*Assumptions!$E$5+K13*Assumptions!$E$6+K18*Assumptions!$E$7+K23*Assumptions!$E$8)/K26</f>
        <v/>
      </c>
      <c r="L27" s="11">
        <f>(L8*Assumptions!$E$5+L13*Assumptions!$E$6+L18*Assumptions!$E$7+L23*Assumptions!$E$8)/L26</f>
        <v/>
      </c>
      <c r="M27" s="11">
        <f>(M8*Assumptions!$E$5+M13*Assumptions!$E$6+M18*Assumptions!$E$7+M23*Assumptions!$E$8)/M26</f>
        <v/>
      </c>
    </row>
    <row r="28">
      <c r="A28" s="3" t="inlineStr">
        <is>
          <t>Implied EBITDA</t>
        </is>
      </c>
      <c r="B28" s="10">
        <f>B26*B27*(1+Assumptions!$B$13)</f>
        <v/>
      </c>
      <c r="C28" s="10">
        <f>C26*C27*(1+Assumptions!$B$13)</f>
        <v/>
      </c>
      <c r="D28" s="10">
        <f>D26*D27*(1+Assumptions!$B$13)</f>
        <v/>
      </c>
      <c r="E28" s="10">
        <f>E26*E27*(1+Assumptions!$B$13)</f>
        <v/>
      </c>
      <c r="F28" s="10">
        <f>F26*F27*(1+Assumptions!$B$13)</f>
        <v/>
      </c>
      <c r="G28" s="10">
        <f>G26*G27*(1+Assumptions!$B$13)</f>
        <v/>
      </c>
      <c r="H28" s="10">
        <f>H26*H27*(1+Assumptions!$B$13)</f>
        <v/>
      </c>
      <c r="I28" s="10">
        <f>I26*I27*(1+Assumptions!$B$13)</f>
        <v/>
      </c>
      <c r="J28" s="10">
        <f>J26*J27*(1+Assumptions!$B$13)</f>
        <v/>
      </c>
      <c r="K28" s="10">
        <f>K26*K27*(1+Assumptions!$B$13)</f>
        <v/>
      </c>
      <c r="L28" s="10">
        <f>L26*L27*(1+Assumptions!$B$13)</f>
        <v/>
      </c>
      <c r="M28" s="10">
        <f>M26*M27*(1+Assumptions!$B$13)</f>
        <v/>
      </c>
    </row>
    <row r="29">
      <c r="A29" s="3" t="inlineStr">
        <is>
          <t>Net New ARR</t>
        </is>
      </c>
      <c r="B29" s="10">
        <f>B26-B26</f>
        <v/>
      </c>
      <c r="C29" s="10">
        <f>C26-B26</f>
        <v/>
      </c>
      <c r="D29" s="10">
        <f>D26-C26</f>
        <v/>
      </c>
      <c r="E29" s="10">
        <f>E26-D26</f>
        <v/>
      </c>
      <c r="F29" s="10">
        <f>F26-E26</f>
        <v/>
      </c>
      <c r="G29" s="10">
        <f>G26-F26</f>
        <v/>
      </c>
      <c r="H29" s="10">
        <f>H26-G26</f>
        <v/>
      </c>
      <c r="I29" s="10">
        <f>I26-H26</f>
        <v/>
      </c>
      <c r="J29" s="10">
        <f>J26-I26</f>
        <v/>
      </c>
      <c r="K29" s="10">
        <f>K26-J26</f>
        <v/>
      </c>
      <c r="L29" s="10">
        <f>L26-K26</f>
        <v/>
      </c>
      <c r="M29" s="10">
        <f>M26-L26</f>
        <v/>
      </c>
    </row>
  </sheetData>
  <autoFilter ref="A3:N29"/>
  <mergeCells count="1">
    <mergeCell ref="A1:N1"/>
  </mergeCells>
  <conditionalFormatting sqref="B26:M26">
    <cfRule type="colorScale" priority="1">
      <colorScale>
        <cfvo type="min"/>
        <cfvo type="percentile" val="50"/>
        <cfvo type="max"/>
        <color rgb="00FEE5D9"/>
        <color rgb="00FCAE91"/>
        <color rgb="00FB6A4A"/>
      </colorScale>
    </cfRule>
  </conditionalFormatting>
  <conditionalFormatting sqref="B29:M29">
    <cfRule type="dataBar" priority="2">
      <dataBar showValue="1">
        <cfvo type="num" val="-500000"/>
        <cfvo type="num" val="600000"/>
        <color rgb="0063C384"/>
      </dataBar>
    </cfRule>
  </conditionalFormatting>
  <conditionalFormatting sqref="B27:M27">
    <cfRule type="expression" priority="3" dxfId="0">
      <formula>B27&lt;0.72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Scenario Engine</t>
        </is>
      </c>
    </row>
    <row r="3">
      <c r="A3" s="4" t="inlineStr">
        <is>
          <t>Selected Scenario</t>
        </is>
      </c>
      <c r="B3" s="8" t="inlineStr">
        <is>
          <t>Base</t>
        </is>
      </c>
    </row>
    <row r="5">
      <c r="A5" s="3" t="inlineStr">
        <is>
          <t>Metric</t>
        </is>
      </c>
      <c r="B5" s="3" t="inlineStr">
        <is>
          <t>Base</t>
        </is>
      </c>
      <c r="C5" s="3" t="inlineStr">
        <is>
          <t>Upside</t>
        </is>
      </c>
      <c r="D5" s="3" t="inlineStr">
        <is>
          <t>Downside</t>
        </is>
      </c>
      <c r="E5" s="3" t="inlineStr">
        <is>
          <t>Active Value</t>
        </is>
      </c>
    </row>
    <row r="6">
      <c r="A6" s="4" t="inlineStr">
        <is>
          <t>Price uplift</t>
        </is>
      </c>
      <c r="B6" s="12" t="n">
        <v>0.04</v>
      </c>
      <c r="C6" s="12" t="n">
        <v>0.09</v>
      </c>
      <c r="D6" s="12" t="n">
        <v>-0.02</v>
      </c>
      <c r="E6" s="12">
        <f>CHOOSE(MATCH($B$3,{"Base","Upside","Downside"},0),B6,C6,D6)</f>
        <v/>
      </c>
    </row>
    <row r="7">
      <c r="A7" s="4" t="inlineStr">
        <is>
          <t>New ARR acceleration</t>
        </is>
      </c>
      <c r="B7" s="12" t="n">
        <v>0</v>
      </c>
      <c r="C7" s="12" t="n">
        <v>0.06</v>
      </c>
      <c r="D7" s="12" t="n">
        <v>-0.05</v>
      </c>
      <c r="E7" s="12">
        <f>CHOOSE(MATCH($B$3,{"Base","Upside","Downside"},0),B7,C7,D7)</f>
        <v/>
      </c>
    </row>
    <row r="8">
      <c r="A8" s="4" t="inlineStr">
        <is>
          <t>Churn reduction</t>
        </is>
      </c>
      <c r="B8" s="12" t="n">
        <v>0</v>
      </c>
      <c r="C8" s="12" t="n">
        <v>0.03</v>
      </c>
      <c r="D8" s="12" t="n">
        <v>-0.02</v>
      </c>
      <c r="E8" s="12">
        <f>CHOOSE(MATCH($B$3,{"Base","Upside","Downside"},0),B8,C8,D8)</f>
        <v/>
      </c>
    </row>
    <row r="9">
      <c r="A9" s="4" t="inlineStr">
        <is>
          <t>Efficiency gain</t>
        </is>
      </c>
      <c r="B9" s="12" t="n">
        <v>0.03</v>
      </c>
      <c r="C9" s="12" t="n">
        <v>0.06</v>
      </c>
      <c r="D9" s="12" t="n">
        <v>0.01</v>
      </c>
      <c r="E9" s="12">
        <f>CHOOSE(MATCH($B$3,{"Base","Upside","Downside"},0),B9,C9,D9)</f>
        <v/>
      </c>
    </row>
    <row r="12">
      <c r="A12" s="3" t="inlineStr">
        <is>
          <t>Projected Dec ARR ($)</t>
        </is>
      </c>
      <c r="B12" s="10">
        <f>Monthly_Model!M26</f>
        <v/>
      </c>
    </row>
    <row r="13">
      <c r="A13" s="3" t="inlineStr">
        <is>
          <t>Projected Dec EBITDA ($)</t>
        </is>
      </c>
      <c r="B13" s="10">
        <f>Monthly_Model!M28</f>
        <v/>
      </c>
    </row>
    <row r="14">
      <c r="A14" s="3" t="inlineStr">
        <is>
          <t>ARR Delta vs Jan ($)</t>
        </is>
      </c>
      <c r="B14" s="10">
        <f>Monthly_Model!M26-Monthly_Model!B26</f>
        <v/>
      </c>
    </row>
  </sheetData>
  <mergeCells count="1">
    <mergeCell ref="A1:H1"/>
  </mergeCells>
  <dataValidations count="1">
    <dataValidation sqref="B3" showDropDown="0" showInputMessage="0" showErrorMessage="0" allowBlank="0" type="list">
      <formula1>"Base,Upside,Downside"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Executive Dashboard</t>
        </is>
      </c>
    </row>
    <row r="3">
      <c r="A3" s="13" t="inlineStr">
        <is>
          <t>Dec ARR</t>
        </is>
      </c>
      <c r="B3" s="14" t="n"/>
      <c r="D3" s="13" t="inlineStr">
        <is>
          <t>Dec EBITDA</t>
        </is>
      </c>
      <c r="E3" s="14" t="n"/>
      <c r="G3" s="13" t="inlineStr">
        <is>
          <t>ARR Growth (Jan-&gt;Dec)</t>
        </is>
      </c>
      <c r="H3" s="14" t="n"/>
      <c r="J3" s="13" t="inlineStr">
        <is>
          <t>Avg Gross Margin</t>
        </is>
      </c>
      <c r="K3" s="14" t="n"/>
    </row>
    <row r="4">
      <c r="A4" s="15">
        <f>Monthly_Model!M26</f>
        <v/>
      </c>
      <c r="B4" s="14" t="n"/>
      <c r="D4" s="15">
        <f>Monthly_Model!M28</f>
        <v/>
      </c>
      <c r="E4" s="14" t="n"/>
      <c r="G4" s="16">
        <f>IFERROR((Monthly_Model!M26/Monthly_Model!B26)-1,0)</f>
        <v/>
      </c>
      <c r="H4" s="14" t="n"/>
      <c r="J4" s="16">
        <f>AVERAGE(Monthly_Model!B27:M27)</f>
        <v/>
      </c>
      <c r="K4" s="14" t="n"/>
    </row>
    <row r="5">
      <c r="A5" s="14" t="n"/>
      <c r="B5" s="14" t="n"/>
      <c r="D5" s="14" t="n"/>
      <c r="E5" s="14" t="n"/>
      <c r="G5" s="14" t="n"/>
      <c r="H5" s="14" t="n"/>
      <c r="J5" s="14" t="n"/>
      <c r="K5" s="14" t="n"/>
    </row>
    <row r="8">
      <c r="A8" s="3" t="inlineStr">
        <is>
          <t>Month</t>
        </is>
      </c>
      <c r="B8" s="3">
        <f>Monthly_Model!B3</f>
        <v/>
      </c>
      <c r="C8" s="3">
        <f>Monthly_Model!C3</f>
        <v/>
      </c>
      <c r="D8" s="3">
        <f>Monthly_Model!D3</f>
        <v/>
      </c>
      <c r="E8" s="3">
        <f>Monthly_Model!E3</f>
        <v/>
      </c>
      <c r="F8" s="3">
        <f>Monthly_Model!F3</f>
        <v/>
      </c>
      <c r="G8" s="3">
        <f>Monthly_Model!G3</f>
        <v/>
      </c>
      <c r="H8" s="3">
        <f>Monthly_Model!H3</f>
        <v/>
      </c>
      <c r="I8" s="3">
        <f>Monthly_Model!I3</f>
        <v/>
      </c>
      <c r="J8" s="3">
        <f>Monthly_Model!J3</f>
        <v/>
      </c>
      <c r="K8" s="3">
        <f>Monthly_Model!K3</f>
        <v/>
      </c>
      <c r="L8" s="3">
        <f>Monthly_Model!L3</f>
        <v/>
      </c>
      <c r="M8" s="3">
        <f>Monthly_Model!M3</f>
        <v/>
      </c>
    </row>
    <row r="9">
      <c r="A9" s="3" t="inlineStr">
        <is>
          <t>Total ARR</t>
        </is>
      </c>
      <c r="B9" s="9">
        <f>Monthly_Model!B26</f>
        <v/>
      </c>
      <c r="C9" s="9">
        <f>Monthly_Model!C26</f>
        <v/>
      </c>
      <c r="D9" s="9">
        <f>Monthly_Model!D26</f>
        <v/>
      </c>
      <c r="E9" s="9">
        <f>Monthly_Model!E26</f>
        <v/>
      </c>
      <c r="F9" s="9">
        <f>Monthly_Model!F26</f>
        <v/>
      </c>
      <c r="G9" s="9">
        <f>Monthly_Model!G26</f>
        <v/>
      </c>
      <c r="H9" s="9">
        <f>Monthly_Model!H26</f>
        <v/>
      </c>
      <c r="I9" s="9">
        <f>Monthly_Model!I26</f>
        <v/>
      </c>
      <c r="J9" s="9">
        <f>Monthly_Model!J26</f>
        <v/>
      </c>
      <c r="K9" s="9">
        <f>Monthly_Model!K26</f>
        <v/>
      </c>
      <c r="L9" s="9">
        <f>Monthly_Model!L26</f>
        <v/>
      </c>
      <c r="M9" s="9">
        <f>Monthly_Model!M26</f>
        <v/>
      </c>
    </row>
    <row r="12">
      <c r="A12" s="3" t="inlineStr">
        <is>
          <t>Segment</t>
        </is>
      </c>
      <c r="B12" s="3" t="inlineStr">
        <is>
          <t>Dec ARR</t>
        </is>
      </c>
    </row>
    <row r="13">
      <c r="A13" s="4" t="inlineStr">
        <is>
          <t>Enterprise</t>
        </is>
      </c>
      <c r="B13" s="9">
        <f>Monthly_Model!M18</f>
        <v/>
      </c>
    </row>
    <row r="14">
      <c r="A14" s="4" t="inlineStr">
        <is>
          <t>Mid-Market</t>
        </is>
      </c>
      <c r="B14" s="9">
        <f>Monthly_Model!M23</f>
        <v/>
      </c>
    </row>
    <row r="15">
      <c r="A15" s="4" t="inlineStr">
        <is>
          <t>SMB</t>
        </is>
      </c>
      <c r="B15" s="9">
        <f>Monthly_Model!M28</f>
        <v/>
      </c>
    </row>
    <row r="16">
      <c r="A16" s="4" t="inlineStr">
        <is>
          <t>Public Sector</t>
        </is>
      </c>
      <c r="B16" s="9">
        <f>Monthly_Model!M33</f>
        <v/>
      </c>
    </row>
  </sheetData>
  <mergeCells count="9">
    <mergeCell ref="J3:K3"/>
    <mergeCell ref="A4:B5"/>
    <mergeCell ref="G4:H5"/>
    <mergeCell ref="D4:E5"/>
    <mergeCell ref="J4:K5"/>
    <mergeCell ref="D3:E3"/>
    <mergeCell ref="A3:B3"/>
    <mergeCell ref="G3:H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48" customWidth="1" min="4" max="4"/>
  </cols>
  <sheetData>
    <row r="1">
      <c r="A1" s="1" t="inlineStr">
        <is>
          <t>Model Quality Checks</t>
        </is>
      </c>
    </row>
    <row r="3">
      <c r="A3" s="3" t="inlineStr">
        <is>
          <t>Check</t>
        </is>
      </c>
      <c r="B3" s="3" t="inlineStr">
        <is>
          <t>Formula</t>
        </is>
      </c>
      <c r="C3" s="3" t="inlineStr">
        <is>
          <t>Status</t>
        </is>
      </c>
      <c r="D3" s="3" t="inlineStr">
        <is>
          <t>Details</t>
        </is>
      </c>
    </row>
    <row r="4">
      <c r="A4" s="4" t="inlineStr">
        <is>
          <t>No negative ending ARR</t>
        </is>
      </c>
      <c r="B4" s="4">
        <f>IF(MIN(Monthly_Model!B8:M33)&gt;=0,"PASS","FAIL")</f>
        <v/>
      </c>
      <c r="C4" s="17">
        <f>B4</f>
        <v/>
      </c>
      <c r="D4" s="4" t="inlineStr">
        <is>
          <t>All ending ARR cells should be non-negative.</t>
        </is>
      </c>
    </row>
    <row r="5">
      <c r="A5" s="4" t="inlineStr">
        <is>
          <t>Gross margin in range</t>
        </is>
      </c>
      <c r="B5" s="4">
        <f>IF(AND(MIN(Monthly_Model!B27:M27)&gt;=0.6,MAX(Monthly_Model!B27:M27)&lt;=0.9),"PASS","FAIL")</f>
        <v/>
      </c>
      <c r="C5" s="17">
        <f>B5</f>
        <v/>
      </c>
      <c r="D5" s="4" t="inlineStr">
        <is>
          <t>Expected gross margin between 60% and 90%.</t>
        </is>
      </c>
    </row>
    <row r="6">
      <c r="A6" s="4" t="inlineStr">
        <is>
          <t>Dec ARR exceeds Jan ARR</t>
        </is>
      </c>
      <c r="B6" s="4">
        <f>IF(Monthly_Model!M26&gt;Monthly_Model!B26,"PASS","FAIL")</f>
        <v/>
      </c>
      <c r="C6" s="17">
        <f>B6</f>
        <v/>
      </c>
      <c r="D6" s="4" t="inlineStr">
        <is>
          <t>Growth trajectory should be positive in base scenario.</t>
        </is>
      </c>
    </row>
  </sheetData>
  <mergeCells count="1">
    <mergeCell ref="A1:D1"/>
  </mergeCells>
  <conditionalFormatting sqref="C4:C20">
    <cfRule type="expression" priority="1" dxfId="0">
      <formula>C4="FAIL"</formula>
    </cfRule>
    <cfRule type="expression" priority="2" dxfId="1">
      <formula>C4="PASS"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2026-03-01T17:54:36Z</dcterms:created>
  <dcterms:modified xmlns:dcterms="http://purl.org/dc/terms/" xmlns:xsi="http://www.w3.org/2001/XMLSchema-instance" xsi:type="dcterms:W3CDTF">2026-03-01T17:54:36Z</dcterms:modified>
</cp:coreProperties>
</file>